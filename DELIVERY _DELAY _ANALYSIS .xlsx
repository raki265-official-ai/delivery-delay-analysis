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ther\Favorites\Downloads\"/>
    </mc:Choice>
  </mc:AlternateContent>
  <bookViews>
    <workbookView xWindow="0" yWindow="0" windowWidth="28800" windowHeight="12300" activeTab="3"/>
  </bookViews>
  <sheets>
    <sheet name="dashboard" sheetId="5" r:id="rId1"/>
    <sheet name="Raw" sheetId="1" r:id="rId2"/>
    <sheet name="Lookup" sheetId="2" r:id="rId3"/>
    <sheet name="Clean" sheetId="3" r:id="rId4"/>
    <sheet name="Summary" sheetId="4" r:id="rId5"/>
  </sheets>
  <calcPr calcId="162913"/>
</workbook>
</file>

<file path=xl/calcChain.xml><?xml version="1.0" encoding="utf-8"?>
<calcChain xmlns="http://schemas.openxmlformats.org/spreadsheetml/2006/main">
  <c r="B6" i="4" l="1"/>
  <c r="B5" i="4"/>
  <c r="B4" i="4"/>
  <c r="H13" i="3"/>
  <c r="H12" i="3"/>
  <c r="H11" i="3"/>
  <c r="H10" i="3"/>
  <c r="H9" i="3"/>
  <c r="H8" i="3"/>
  <c r="H7" i="3"/>
  <c r="H6" i="3"/>
  <c r="H5" i="3"/>
  <c r="H4" i="3"/>
  <c r="H3" i="3"/>
  <c r="H2" i="3"/>
  <c r="E5" i="4" l="1"/>
  <c r="G4" i="4"/>
  <c r="F4" i="4"/>
  <c r="E4" i="4"/>
  <c r="G5" i="4"/>
  <c r="F5" i="4"/>
  <c r="F6" i="4" l="1"/>
  <c r="H5" i="4"/>
  <c r="G6" i="4"/>
  <c r="H4" i="4"/>
  <c r="E6" i="4"/>
  <c r="H6" i="4" l="1"/>
</calcChain>
</file>

<file path=xl/sharedStrings.xml><?xml version="1.0" encoding="utf-8"?>
<sst xmlns="http://schemas.openxmlformats.org/spreadsheetml/2006/main" count="129" uniqueCount="42">
  <si>
    <t>record_id</t>
  </si>
  <si>
    <t>month</t>
  </si>
  <si>
    <t>route_id</t>
  </si>
  <si>
    <t>hub</t>
  </si>
  <si>
    <t>promised_days</t>
  </si>
  <si>
    <t>actual_days</t>
  </si>
  <si>
    <t>Before Row Count</t>
  </si>
  <si>
    <t>13</t>
  </si>
  <si>
    <t>Jan</t>
  </si>
  <si>
    <t>R1</t>
  </si>
  <si>
    <t>Mumbai</t>
  </si>
  <si>
    <t>Note</t>
  </si>
  <si>
    <t>Original data unchanged; duplicate retained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</si>
  <si>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</si>
  <si>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</si>
  <si>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</si>
  <si>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</si>
  <si>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</si>
  <si>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</si>
  <si>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</si>
  <si>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</si>
  <si>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</si>
  <si>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</si>
  <si>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</si>
  <si>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</si>
  <si>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</si>
  <si>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</si>
  <si>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</si>
  <si>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delay_days</t>
  </si>
  <si>
    <t>Row Count Check</t>
  </si>
  <si>
    <t>Before</t>
  </si>
  <si>
    <t>After</t>
  </si>
  <si>
    <t>Duplicate Removed</t>
  </si>
  <si>
    <t>Hub Delay Summary</t>
  </si>
  <si>
    <t>PivotTable — Total Delay Days by Service Type &amp; Month</t>
  </si>
  <si>
    <t>Hub</t>
  </si>
  <si>
    <t>Total Delay Days</t>
  </si>
  <si>
    <t>Service Type</t>
  </si>
  <si>
    <t>Grand Total</t>
  </si>
  <si>
    <t>Check: Chennai = 5 | Delhi = 14 | Mumbai = 15</t>
  </si>
  <si>
    <t>Column1</t>
  </si>
  <si>
    <t>DELIVERY DELAY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</si>
</sst>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6"/>
      <name val="Calibri"/>
    </font>
    <font>
      <b/>
      <sz val="14"/>
      <name val="Calibri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5" fillId="3" borderId="0" xfId="1"/>
  </cellXfs>
  <cellStyles count="2">
    <cellStyle name="Good" xfId="1" builtinId="26"/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Total Delay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Summary!$A$4:$A$6</c:f>
              <c:strCache>
                <c:ptCount val="3"/>
                <c:pt idx="0">
                  <c:v>Chennai</c:v>
                </c:pt>
                <c:pt idx="1">
                  <c:v>Delhi</c:v>
                </c:pt>
                <c:pt idx="2">
                  <c:v>Mumbai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5</c:v>
                </c:pt>
                <c:pt idx="1">
                  <c:v>14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4-4181-B934-517977B4E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080960"/>
        <c:axId val="654086536"/>
      </c:barChart>
      <c:catAx>
        <c:axId val="65408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86536"/>
        <c:crosses val="autoZero"/>
        <c:auto val="1"/>
        <c:lblAlgn val="ctr"/>
        <c:lblOffset val="100"/>
        <c:noMultiLvlLbl val="0"/>
      </c:catAx>
      <c:valAx>
        <c:axId val="65408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8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Summary!$D$4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Summary!$E$3:$H$3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Grand Total</c:v>
                </c:pt>
              </c:strCache>
            </c:strRef>
          </c:cat>
          <c:val>
            <c:numRef>
              <c:f>Summary!$E$4:$H$4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7-43EE-8569-1714C632A3B5}"/>
            </c:ext>
          </c:extLst>
        </c:ser>
        <c:ser>
          <c:idx val="1"/>
          <c:order val="1"/>
          <c:tx>
            <c:strRef>
              <c:f>Summary!$D$5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Summary!$E$3:$H$3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Grand Total</c:v>
                </c:pt>
              </c:strCache>
            </c:strRef>
          </c:cat>
          <c:val>
            <c:numRef>
              <c:f>Summary!$E$5:$H$5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7-43EE-8569-1714C632A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314576"/>
        <c:axId val="662309000"/>
      </c:barChart>
      <c:lineChart>
        <c:grouping val="standard"/>
        <c:varyColors val="0"/>
        <c:ser>
          <c:idx val="2"/>
          <c:order val="2"/>
          <c:tx>
            <c:strRef>
              <c:f>Summary!$D$6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Summary!$E$3:$H$3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Grand Total</c:v>
                </c:pt>
              </c:strCache>
            </c:strRef>
          </c:cat>
          <c:val>
            <c:numRef>
              <c:f>Summary!$E$6:$H$6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87-43EE-8569-1714C632A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315232"/>
        <c:axId val="662313592"/>
      </c:lineChart>
      <c:catAx>
        <c:axId val="66231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09000"/>
        <c:crosses val="autoZero"/>
        <c:auto val="1"/>
        <c:lblAlgn val="ctr"/>
        <c:lblOffset val="100"/>
        <c:noMultiLvlLbl val="0"/>
      </c:catAx>
      <c:valAx>
        <c:axId val="66230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14576"/>
        <c:crosses val="autoZero"/>
        <c:crossBetween val="between"/>
      </c:valAx>
      <c:valAx>
        <c:axId val="66231359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15232"/>
        <c:crosses val="max"/>
        <c:crossBetween val="between"/>
      </c:valAx>
      <c:catAx>
        <c:axId val="662315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2313592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delay_days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Summary!$A$2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Summary!$B$2:$H$2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6E41-49D8-8839-B960D95D93AD}"/>
            </c:ext>
          </c:extLst>
        </c:ser>
        <c:ser>
          <c:idx val="1"/>
          <c:order val="1"/>
          <c:tx>
            <c:strRef>
              <c:f>Summary!$A$3</c:f>
              <c:strCache>
                <c:ptCount val="1"/>
                <c:pt idx="0">
                  <c:v>Hub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Summary!$B$3:$H$3</c:f>
              <c:numCache>
                <c:formatCode>General</c:formatCode>
                <c:ptCount val="7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1-49D8-8839-B960D95D93AD}"/>
            </c:ext>
          </c:extLst>
        </c:ser>
        <c:ser>
          <c:idx val="2"/>
          <c:order val="2"/>
          <c:tx>
            <c:strRef>
              <c:f>Summary!$A$4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Summary!$B$4:$H$4</c:f>
              <c:numCache>
                <c:formatCode>General</c:formatCode>
                <c:ptCount val="7"/>
                <c:pt idx="0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41-49D8-8839-B960D95D93AD}"/>
            </c:ext>
          </c:extLst>
        </c:ser>
        <c:ser>
          <c:idx val="3"/>
          <c:order val="3"/>
          <c:tx>
            <c:strRef>
              <c:f>Summary!$A$5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Summary!$B$5:$H$5</c:f>
              <c:numCache>
                <c:formatCode>General</c:formatCode>
                <c:ptCount val="7"/>
                <c:pt idx="0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41-49D8-8839-B960D95D93AD}"/>
            </c:ext>
          </c:extLst>
        </c:ser>
        <c:ser>
          <c:idx val="4"/>
          <c:order val="4"/>
          <c:tx>
            <c:strRef>
              <c:f>Summary!$A$6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Summary!$B$6:$H$6</c:f>
              <c:numCache>
                <c:formatCode>General</c:formatCode>
                <c:ptCount val="7"/>
                <c:pt idx="0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41-49D8-8839-B960D95D9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2988144"/>
        <c:axId val="666371240"/>
      </c:barChart>
      <c:catAx>
        <c:axId val="66298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71240"/>
        <c:crosses val="autoZero"/>
        <c:auto val="1"/>
        <c:lblAlgn val="ctr"/>
        <c:lblOffset val="100"/>
        <c:noMultiLvlLbl val="0"/>
      </c:catAx>
      <c:valAx>
        <c:axId val="66637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8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Total Delay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Summary!$A$4:$A$6</c:f>
              <c:strCache>
                <c:ptCount val="3"/>
                <c:pt idx="0">
                  <c:v>Chennai</c:v>
                </c:pt>
                <c:pt idx="1">
                  <c:v>Delhi</c:v>
                </c:pt>
                <c:pt idx="2">
                  <c:v>Mumbai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5</c:v>
                </c:pt>
                <c:pt idx="1">
                  <c:v>14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0-4B23-A761-DF6870057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080960"/>
        <c:axId val="654086536"/>
      </c:barChart>
      <c:catAx>
        <c:axId val="65408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86536"/>
        <c:crosses val="autoZero"/>
        <c:auto val="1"/>
        <c:lblAlgn val="ctr"/>
        <c:lblOffset val="100"/>
        <c:noMultiLvlLbl val="0"/>
      </c:catAx>
      <c:valAx>
        <c:axId val="65408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8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Summary!$D$4</c:f>
              <c:strCache>
                <c:ptCount val="1"/>
                <c:pt idx="0">
                  <c:v>Express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Summary!$E$3:$H$3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Grand Total</c:v>
                </c:pt>
              </c:strCache>
            </c:strRef>
          </c:cat>
          <c:val>
            <c:numRef>
              <c:f>Summary!$E$4:$H$4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C-4871-8D16-2928B968013D}"/>
            </c:ext>
          </c:extLst>
        </c:ser>
        <c:ser>
          <c:idx val="1"/>
          <c:order val="1"/>
          <c:tx>
            <c:strRef>
              <c:f>Summary!$D$5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Summary!$E$3:$H$3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Grand Total</c:v>
                </c:pt>
              </c:strCache>
            </c:strRef>
          </c:cat>
          <c:val>
            <c:numRef>
              <c:f>Summary!$E$5:$H$5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EC-4871-8D16-2928B9680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314576"/>
        <c:axId val="662309000"/>
      </c:barChart>
      <c:lineChart>
        <c:grouping val="standard"/>
        <c:varyColors val="0"/>
        <c:ser>
          <c:idx val="2"/>
          <c:order val="2"/>
          <c:tx>
            <c:strRef>
              <c:f>Summary!$D$6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Summary!$E$3:$H$3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Grand Total</c:v>
                </c:pt>
              </c:strCache>
            </c:strRef>
          </c:cat>
          <c:val>
            <c:numRef>
              <c:f>Summary!$E$6:$H$6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EC-4871-8D16-2928B9680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315232"/>
        <c:axId val="662313592"/>
      </c:lineChart>
      <c:catAx>
        <c:axId val="66231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09000"/>
        <c:crosses val="autoZero"/>
        <c:auto val="1"/>
        <c:lblAlgn val="ctr"/>
        <c:lblOffset val="100"/>
        <c:noMultiLvlLbl val="0"/>
      </c:catAx>
      <c:valAx>
        <c:axId val="66230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14576"/>
        <c:crosses val="autoZero"/>
        <c:crossBetween val="between"/>
      </c:valAx>
      <c:valAx>
        <c:axId val="66231359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15232"/>
        <c:crosses val="max"/>
        <c:crossBetween val="between"/>
      </c:valAx>
      <c:catAx>
        <c:axId val="662315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2313592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delay_days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Summary!$A$2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Summary!$B$2:$H$2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59A4-4942-A133-B282E8B5290A}"/>
            </c:ext>
          </c:extLst>
        </c:ser>
        <c:ser>
          <c:idx val="1"/>
          <c:order val="1"/>
          <c:tx>
            <c:strRef>
              <c:f>Summary!$A$3</c:f>
              <c:strCache>
                <c:ptCount val="1"/>
                <c:pt idx="0">
                  <c:v>Hub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Summary!$B$3:$H$3</c:f>
              <c:numCache>
                <c:formatCode>General</c:formatCode>
                <c:ptCount val="7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4-4942-A133-B282E8B5290A}"/>
            </c:ext>
          </c:extLst>
        </c:ser>
        <c:ser>
          <c:idx val="2"/>
          <c:order val="2"/>
          <c:tx>
            <c:strRef>
              <c:f>Summary!$A$4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Summary!$B$4:$H$4</c:f>
              <c:numCache>
                <c:formatCode>General</c:formatCode>
                <c:ptCount val="7"/>
                <c:pt idx="0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A4-4942-A133-B282E8B5290A}"/>
            </c:ext>
          </c:extLst>
        </c:ser>
        <c:ser>
          <c:idx val="3"/>
          <c:order val="3"/>
          <c:tx>
            <c:strRef>
              <c:f>Summary!$A$5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Summary!$B$5:$H$5</c:f>
              <c:numCache>
                <c:formatCode>General</c:formatCode>
                <c:ptCount val="7"/>
                <c:pt idx="0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A4-4942-A133-B282E8B5290A}"/>
            </c:ext>
          </c:extLst>
        </c:ser>
        <c:ser>
          <c:idx val="4"/>
          <c:order val="4"/>
          <c:tx>
            <c:strRef>
              <c:f>Summary!$A$6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Summary!$B$1:$H$1</c:f>
              <c:strCache>
                <c:ptCount val="3"/>
                <c:pt idx="2">
                  <c:v>PivotTable — Total Delay Days by Service Type &amp; Month</c:v>
                </c:pt>
              </c:strCache>
            </c:strRef>
          </c:cat>
          <c:val>
            <c:numRef>
              <c:f>Summary!$B$6:$H$6</c:f>
              <c:numCache>
                <c:formatCode>General</c:formatCode>
                <c:ptCount val="7"/>
                <c:pt idx="0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A4-4942-A133-B282E8B52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2988144"/>
        <c:axId val="666371240"/>
      </c:barChart>
      <c:catAx>
        <c:axId val="66298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71240"/>
        <c:crosses val="autoZero"/>
        <c:auto val="1"/>
        <c:lblAlgn val="ctr"/>
        <c:lblOffset val="100"/>
        <c:noMultiLvlLbl val="0"/>
      </c:catAx>
      <c:valAx>
        <c:axId val="66637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8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8</xdr:col>
      <xdr:colOff>304800</xdr:colOff>
      <xdr:row>26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0</xdr:rowOff>
    </xdr:from>
    <xdr:to>
      <xdr:col>17</xdr:col>
      <xdr:colOff>304800</xdr:colOff>
      <xdr:row>27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12</xdr:row>
      <xdr:rowOff>0</xdr:rowOff>
    </xdr:from>
    <xdr:to>
      <xdr:col>26</xdr:col>
      <xdr:colOff>304800</xdr:colOff>
      <xdr:row>26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10</xdr:row>
      <xdr:rowOff>47625</xdr:rowOff>
    </xdr:from>
    <xdr:to>
      <xdr:col>4</xdr:col>
      <xdr:colOff>400050</xdr:colOff>
      <xdr:row>24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590550</xdr:colOff>
      <xdr:row>10</xdr:row>
      <xdr:rowOff>133350</xdr:rowOff>
    </xdr:from>
    <xdr:to>
      <xdr:col>8</xdr:col>
      <xdr:colOff>361950</xdr:colOff>
      <xdr:row>25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114300</xdr:colOff>
      <xdr:row>10</xdr:row>
      <xdr:rowOff>142875</xdr:rowOff>
    </xdr:from>
    <xdr:to>
      <xdr:col>16</xdr:col>
      <xdr:colOff>419100</xdr:colOff>
      <xdr:row>25</xdr:row>
      <xdr:rowOff>28575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able4" displayName="Table4" ref="A1:F14" totalsRowShown="0" headerRowDxfId="6" dataDxfId="7" headerRowBorderDxfId="14">
  <autoFilter ref="A1:F14"/>
  <tableColumns count="6">
    <tableColumn id="1" name="record_id" dataDxfId="13"/>
    <tableColumn id="2" name="month" dataDxfId="12"/>
    <tableColumn id="3" name="route_id" dataDxfId="11"/>
    <tableColumn id="4" name="hub" dataDxfId="10"/>
    <tableColumn id="5" name="promised_days" dataDxfId="9"/>
    <tableColumn id="6" name="actual_days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C5" totalsRowShown="0" headerRowDxfId="0" dataDxfId="1" headerRowBorderDxfId="5">
  <autoFilter ref="A1:C5"/>
  <tableColumns count="3">
    <tableColumn id="1" name="route_id" dataDxfId="4"/>
    <tableColumn id="2" name="route" dataDxfId="3"/>
    <tableColumn id="3" name="service_type" dataDxfId="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CleanDeliveries" displayName="CleanDeliveries" ref="A1:H13">
  <autoFilter ref="A1:H13"/>
  <tableColumns count="8">
    <tableColumn id="1" name="record_id"/>
    <tableColumn id="2" name="month"/>
    <tableColumn id="3" name="route_id"/>
    <tableColumn id="4" name="hub"/>
    <tableColumn id="5" name="promised_days"/>
    <tableColumn id="6" name="actual_days"/>
    <tableColumn id="7" name="Column1"/>
    <tableColumn id="8" name="delay_day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3:B6" totalsRowShown="0" headerRowDxfId="19" dataDxfId="18">
  <autoFilter ref="A3:B6"/>
  <tableColumns count="2">
    <tableColumn id="1" name="Hub" dataDxfId="17"/>
    <tableColumn id="2" name="Total Delay Days" dataDxfId="16">
      <calculatedColumnFormula>SUMIFS(Clean!$H:$H,Clean!$D:$D,A4)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D3:H6" totalsRowShown="0" headerRowDxfId="15">
  <autoFilter ref="D3:H6"/>
  <tableColumns count="5">
    <tableColumn id="1" name="Service Type"/>
    <tableColumn id="2" name="Jan"/>
    <tableColumn id="3" name="Feb"/>
    <tableColumn id="4" name="Mar"/>
    <tableColumn id="5" name="Grand 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M3"/>
  <sheetViews>
    <sheetView workbookViewId="0">
      <selection activeCell="K12" sqref="K12"/>
    </sheetView>
  </sheetViews>
  <sheetFormatPr defaultRowHeight="15" x14ac:dyDescent="0.25"/>
  <sheetData>
    <row r="2" spans="6:13" x14ac:dyDescent="0.25">
      <c r="F2" s="9"/>
      <c r="G2" s="9"/>
      <c r="H2" s="9" t="s">
        <v>41</v>
      </c>
      <c r="I2" s="9"/>
      <c r="J2" s="9"/>
      <c r="K2" s="9"/>
      <c r="L2" s="9"/>
      <c r="M2" s="9"/>
    </row>
    <row r="3" spans="6:13" x14ac:dyDescent="0.25">
      <c r="F3" s="9"/>
      <c r="G3" s="9"/>
      <c r="H3" s="9"/>
      <c r="I3" s="9"/>
      <c r="J3" s="9"/>
      <c r="K3" s="9"/>
      <c r="L3" s="9"/>
      <c r="M3" s="9"/>
    </row>
  </sheetData>
  <pageMargins left="0.7" right="0.7" top="0.75" bottom="0.75" header="0.3" footer="0.3"/>
  <pageSetup scale="12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 sqref="A1:F14"/>
    </sheetView>
  </sheetViews>
  <sheetFormatPr defaultRowHeight="15" x14ac:dyDescent="0.25"/>
  <cols>
    <col min="1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 t="s">
        <v>6</v>
      </c>
      <c r="I1" s="2" t="s">
        <v>7</v>
      </c>
    </row>
    <row r="2" spans="1:9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2</v>
      </c>
      <c r="F2" s="2">
        <v>2</v>
      </c>
      <c r="G2" s="2"/>
      <c r="H2" s="2" t="s">
        <v>11</v>
      </c>
      <c r="I2" s="2" t="s">
        <v>12</v>
      </c>
    </row>
    <row r="3" spans="1:9" x14ac:dyDescent="0.25">
      <c r="A3" s="2">
        <v>2</v>
      </c>
      <c r="B3" s="2" t="s">
        <v>8</v>
      </c>
      <c r="C3" s="2" t="s">
        <v>13</v>
      </c>
      <c r="D3" s="2" t="s">
        <v>14</v>
      </c>
      <c r="E3" s="2">
        <v>3</v>
      </c>
      <c r="F3" s="2">
        <v>4</v>
      </c>
      <c r="G3" s="2"/>
      <c r="H3" s="2"/>
      <c r="I3" s="2"/>
    </row>
    <row r="4" spans="1:9" x14ac:dyDescent="0.25">
      <c r="A4" s="2">
        <v>3</v>
      </c>
      <c r="B4" s="2" t="s">
        <v>8</v>
      </c>
      <c r="C4" s="2" t="s">
        <v>15</v>
      </c>
      <c r="D4" s="2" t="s">
        <v>16</v>
      </c>
      <c r="E4" s="2">
        <v>5</v>
      </c>
      <c r="F4" s="2">
        <v>8</v>
      </c>
      <c r="G4" s="2"/>
      <c r="H4" s="2"/>
      <c r="I4" s="2"/>
    </row>
    <row r="5" spans="1:9" x14ac:dyDescent="0.25">
      <c r="A5" s="2">
        <v>4</v>
      </c>
      <c r="B5" s="2" t="s">
        <v>8</v>
      </c>
      <c r="C5" s="2" t="s">
        <v>17</v>
      </c>
      <c r="D5" s="2" t="s">
        <v>10</v>
      </c>
      <c r="E5" s="2">
        <v>6</v>
      </c>
      <c r="F5" s="2">
        <v>10</v>
      </c>
      <c r="G5" s="2"/>
      <c r="H5" s="2"/>
      <c r="I5" s="2"/>
    </row>
    <row r="6" spans="1:9" x14ac:dyDescent="0.25">
      <c r="A6" s="2">
        <v>5</v>
      </c>
      <c r="B6" s="2" t="s">
        <v>18</v>
      </c>
      <c r="C6" s="2" t="s">
        <v>9</v>
      </c>
      <c r="D6" s="2" t="s">
        <v>14</v>
      </c>
      <c r="E6" s="2">
        <v>2</v>
      </c>
      <c r="F6" s="2">
        <v>5</v>
      </c>
      <c r="G6" s="2"/>
      <c r="H6" s="2"/>
      <c r="I6" s="2"/>
    </row>
    <row r="7" spans="1:9" x14ac:dyDescent="0.25">
      <c r="A7" s="2">
        <v>6</v>
      </c>
      <c r="B7" s="2" t="s">
        <v>18</v>
      </c>
      <c r="C7" s="2" t="s">
        <v>13</v>
      </c>
      <c r="D7" s="2" t="s">
        <v>16</v>
      </c>
      <c r="E7" s="2">
        <v>3</v>
      </c>
      <c r="F7" s="2">
        <v>3</v>
      </c>
      <c r="G7" s="2"/>
      <c r="H7" s="2"/>
      <c r="I7" s="2"/>
    </row>
    <row r="8" spans="1:9" x14ac:dyDescent="0.25">
      <c r="A8" s="2">
        <v>7</v>
      </c>
      <c r="B8" s="2" t="s">
        <v>18</v>
      </c>
      <c r="C8" s="2" t="s">
        <v>15</v>
      </c>
      <c r="D8" s="2" t="s">
        <v>16</v>
      </c>
      <c r="E8" s="2">
        <v>5</v>
      </c>
      <c r="F8" s="2">
        <v>10</v>
      </c>
      <c r="G8" s="2"/>
      <c r="H8" s="2"/>
      <c r="I8" s="2"/>
    </row>
    <row r="9" spans="1:9" x14ac:dyDescent="0.25">
      <c r="A9" s="2">
        <v>8</v>
      </c>
      <c r="B9" s="2" t="s">
        <v>18</v>
      </c>
      <c r="C9" s="2" t="s">
        <v>17</v>
      </c>
      <c r="D9" s="2" t="s">
        <v>14</v>
      </c>
      <c r="E9" s="2">
        <v>6</v>
      </c>
      <c r="F9" s="2">
        <v>7</v>
      </c>
      <c r="G9" s="2"/>
      <c r="H9" s="2"/>
      <c r="I9" s="2"/>
    </row>
    <row r="10" spans="1:9" x14ac:dyDescent="0.25">
      <c r="A10" s="2">
        <v>9</v>
      </c>
      <c r="B10" s="2" t="s">
        <v>19</v>
      </c>
      <c r="C10" s="2" t="s">
        <v>9</v>
      </c>
      <c r="D10" s="2" t="s">
        <v>16</v>
      </c>
      <c r="E10" s="2">
        <v>2</v>
      </c>
      <c r="F10" s="2">
        <v>8</v>
      </c>
      <c r="G10" s="2"/>
      <c r="H10" s="2"/>
      <c r="I10" s="2"/>
    </row>
    <row r="11" spans="1:9" x14ac:dyDescent="0.25">
      <c r="A11" s="2">
        <v>10</v>
      </c>
      <c r="B11" s="2" t="s">
        <v>19</v>
      </c>
      <c r="C11" s="2" t="s">
        <v>13</v>
      </c>
      <c r="D11" s="2" t="s">
        <v>10</v>
      </c>
      <c r="E11" s="2">
        <v>3</v>
      </c>
      <c r="F11" s="2">
        <v>5</v>
      </c>
      <c r="G11" s="2"/>
      <c r="H11" s="2"/>
      <c r="I11" s="2"/>
    </row>
    <row r="12" spans="1:9" x14ac:dyDescent="0.25">
      <c r="A12" s="2">
        <v>11</v>
      </c>
      <c r="B12" s="2" t="s">
        <v>19</v>
      </c>
      <c r="C12" s="2" t="s">
        <v>15</v>
      </c>
      <c r="D12" s="2" t="s">
        <v>14</v>
      </c>
      <c r="E12" s="2">
        <v>5</v>
      </c>
      <c r="F12" s="2">
        <v>5</v>
      </c>
      <c r="G12" s="2"/>
      <c r="H12" s="2"/>
      <c r="I12" s="2"/>
    </row>
    <row r="13" spans="1:9" x14ac:dyDescent="0.25">
      <c r="A13" s="2">
        <v>12</v>
      </c>
      <c r="B13" s="2" t="s">
        <v>19</v>
      </c>
      <c r="C13" s="2" t="s">
        <v>17</v>
      </c>
      <c r="D13" s="2" t="s">
        <v>10</v>
      </c>
      <c r="E13" s="2">
        <v>6</v>
      </c>
      <c r="F13" s="2">
        <v>15</v>
      </c>
      <c r="G13" s="2"/>
      <c r="H13" s="2"/>
      <c r="I13" s="2"/>
    </row>
    <row r="14" spans="1:9" x14ac:dyDescent="0.25">
      <c r="A14" s="2">
        <v>12</v>
      </c>
      <c r="B14" s="2" t="s">
        <v>19</v>
      </c>
      <c r="C14" s="2" t="s">
        <v>17</v>
      </c>
      <c r="D14" s="2" t="s">
        <v>10</v>
      </c>
      <c r="E14" s="2">
        <v>6</v>
      </c>
      <c r="F14" s="2">
        <v>15</v>
      </c>
      <c r="G14" s="2"/>
      <c r="H14" s="2"/>
      <c r="I14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 sqref="A1:C5"/>
    </sheetView>
  </sheetViews>
  <sheetFormatPr defaultRowHeight="15" x14ac:dyDescent="0.25"/>
  <cols>
    <col min="1" max="3" width="20" customWidth="1"/>
  </cols>
  <sheetData>
    <row r="1" spans="1:3" x14ac:dyDescent="0.25">
      <c r="A1" s="1" t="s">
        <v>2</v>
      </c>
      <c r="B1" s="1" t="s">
        <v>20</v>
      </c>
      <c r="C1" s="1" t="s">
        <v>21</v>
      </c>
    </row>
    <row r="2" spans="1:3" x14ac:dyDescent="0.25">
      <c r="A2" s="2" t="s">
        <v>9</v>
      </c>
      <c r="B2" s="2" t="s">
        <v>22</v>
      </c>
      <c r="C2" s="2" t="s">
        <v>23</v>
      </c>
    </row>
    <row r="3" spans="1:3" x14ac:dyDescent="0.25">
      <c r="A3" s="2" t="s">
        <v>13</v>
      </c>
      <c r="B3" s="2" t="s">
        <v>24</v>
      </c>
      <c r="C3" s="2" t="s">
        <v>23</v>
      </c>
    </row>
    <row r="4" spans="1:3" x14ac:dyDescent="0.25">
      <c r="A4" s="2" t="s">
        <v>15</v>
      </c>
      <c r="B4" s="2" t="s">
        <v>25</v>
      </c>
      <c r="C4" s="2" t="s">
        <v>26</v>
      </c>
    </row>
    <row r="5" spans="1:3" x14ac:dyDescent="0.25">
      <c r="A5" s="2" t="s">
        <v>17</v>
      </c>
      <c r="B5" s="2" t="s">
        <v>27</v>
      </c>
      <c r="C5" s="2" t="s">
        <v>26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pane ySplit="1" topLeftCell="A2" activePane="bottomLeft" state="frozen"/>
      <selection pane="bottomLeft" activeCell="G19" sqref="G19"/>
    </sheetView>
  </sheetViews>
  <sheetFormatPr defaultRowHeight="15" x14ac:dyDescent="0.25"/>
  <cols>
    <col min="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28</v>
      </c>
      <c r="I1" s="2"/>
      <c r="J1" s="3" t="s">
        <v>29</v>
      </c>
      <c r="K1" s="2"/>
    </row>
    <row r="2" spans="1:11" x14ac:dyDescent="0.25">
      <c r="A2" s="4">
        <v>1</v>
      </c>
      <c r="B2" s="2" t="s">
        <v>8</v>
      </c>
      <c r="C2" s="2" t="s">
        <v>9</v>
      </c>
      <c r="D2" s="2" t="s">
        <v>10</v>
      </c>
      <c r="E2" s="4">
        <v>2</v>
      </c>
      <c r="F2" s="4">
        <v>2</v>
      </c>
      <c r="G2" s="2"/>
      <c r="H2" s="4">
        <f t="shared" ref="H2:H13" si="0">MAX(F2-E2,0)</f>
        <v>0</v>
      </c>
      <c r="I2" s="2"/>
      <c r="J2" s="3" t="s">
        <v>30</v>
      </c>
      <c r="K2" s="4">
        <v>13</v>
      </c>
    </row>
    <row r="3" spans="1:11" x14ac:dyDescent="0.25">
      <c r="A3" s="4">
        <v>2</v>
      </c>
      <c r="B3" s="2" t="s">
        <v>8</v>
      </c>
      <c r="C3" s="2" t="s">
        <v>13</v>
      </c>
      <c r="D3" s="2" t="s">
        <v>14</v>
      </c>
      <c r="E3" s="4">
        <v>3</v>
      </c>
      <c r="F3" s="4">
        <v>4</v>
      </c>
      <c r="G3" s="2"/>
      <c r="H3" s="4">
        <f t="shared" si="0"/>
        <v>1</v>
      </c>
      <c r="I3" s="2"/>
      <c r="J3" s="3" t="s">
        <v>31</v>
      </c>
      <c r="K3" s="4">
        <v>12</v>
      </c>
    </row>
    <row r="4" spans="1:11" x14ac:dyDescent="0.25">
      <c r="A4" s="4">
        <v>3</v>
      </c>
      <c r="B4" s="2" t="s">
        <v>8</v>
      </c>
      <c r="C4" s="2" t="s">
        <v>15</v>
      </c>
      <c r="D4" s="2" t="s">
        <v>16</v>
      </c>
      <c r="E4" s="4">
        <v>5</v>
      </c>
      <c r="F4" s="4">
        <v>8</v>
      </c>
      <c r="G4" s="2"/>
      <c r="H4" s="4">
        <f t="shared" si="0"/>
        <v>3</v>
      </c>
      <c r="I4" s="2"/>
      <c r="J4" s="3" t="s">
        <v>32</v>
      </c>
      <c r="K4" s="4">
        <v>1</v>
      </c>
    </row>
    <row r="5" spans="1:11" x14ac:dyDescent="0.25">
      <c r="A5" s="4">
        <v>4</v>
      </c>
      <c r="B5" s="2" t="s">
        <v>8</v>
      </c>
      <c r="C5" s="2" t="s">
        <v>17</v>
      </c>
      <c r="D5" s="2" t="s">
        <v>10</v>
      </c>
      <c r="E5" s="4">
        <v>6</v>
      </c>
      <c r="F5" s="4">
        <v>10</v>
      </c>
      <c r="G5" s="2"/>
      <c r="H5" s="4">
        <f t="shared" si="0"/>
        <v>4</v>
      </c>
      <c r="I5" s="2"/>
      <c r="J5" s="2"/>
      <c r="K5" s="2"/>
    </row>
    <row r="6" spans="1:11" x14ac:dyDescent="0.25">
      <c r="A6" s="4">
        <v>5</v>
      </c>
      <c r="B6" s="2" t="s">
        <v>18</v>
      </c>
      <c r="C6" s="2" t="s">
        <v>9</v>
      </c>
      <c r="D6" s="2" t="s">
        <v>14</v>
      </c>
      <c r="E6" s="4">
        <v>2</v>
      </c>
      <c r="F6" s="4">
        <v>5</v>
      </c>
      <c r="G6" s="2"/>
      <c r="H6" s="4">
        <f t="shared" si="0"/>
        <v>3</v>
      </c>
      <c r="I6" s="2"/>
      <c r="J6" s="2"/>
      <c r="K6" s="2"/>
    </row>
    <row r="7" spans="1:11" x14ac:dyDescent="0.25">
      <c r="A7" s="4">
        <v>6</v>
      </c>
      <c r="B7" s="2" t="s">
        <v>18</v>
      </c>
      <c r="C7" s="2" t="s">
        <v>13</v>
      </c>
      <c r="D7" s="2" t="s">
        <v>16</v>
      </c>
      <c r="E7" s="4">
        <v>3</v>
      </c>
      <c r="F7" s="4">
        <v>3</v>
      </c>
      <c r="G7" s="2"/>
      <c r="H7" s="4">
        <f t="shared" si="0"/>
        <v>0</v>
      </c>
      <c r="I7" s="2"/>
      <c r="J7" s="2"/>
      <c r="K7" s="2"/>
    </row>
    <row r="8" spans="1:11" x14ac:dyDescent="0.25">
      <c r="A8" s="4">
        <v>7</v>
      </c>
      <c r="B8" s="2" t="s">
        <v>18</v>
      </c>
      <c r="C8" s="2" t="s">
        <v>15</v>
      </c>
      <c r="D8" s="2" t="s">
        <v>16</v>
      </c>
      <c r="E8" s="4">
        <v>5</v>
      </c>
      <c r="F8" s="4">
        <v>10</v>
      </c>
      <c r="G8" s="2"/>
      <c r="H8" s="4">
        <f t="shared" si="0"/>
        <v>5</v>
      </c>
      <c r="I8" s="2"/>
      <c r="J8" s="2"/>
      <c r="K8" s="2"/>
    </row>
    <row r="9" spans="1:11" x14ac:dyDescent="0.25">
      <c r="A9" s="4">
        <v>8</v>
      </c>
      <c r="B9" s="2" t="s">
        <v>18</v>
      </c>
      <c r="C9" s="2" t="s">
        <v>17</v>
      </c>
      <c r="D9" s="2" t="s">
        <v>14</v>
      </c>
      <c r="E9" s="4">
        <v>6</v>
      </c>
      <c r="F9" s="4">
        <v>7</v>
      </c>
      <c r="G9" s="2"/>
      <c r="H9" s="4">
        <f t="shared" si="0"/>
        <v>1</v>
      </c>
      <c r="I9" s="2"/>
      <c r="J9" s="2"/>
      <c r="K9" s="2"/>
    </row>
    <row r="10" spans="1:11" x14ac:dyDescent="0.25">
      <c r="A10" s="4">
        <v>9</v>
      </c>
      <c r="B10" s="2" t="s">
        <v>19</v>
      </c>
      <c r="C10" s="2" t="s">
        <v>9</v>
      </c>
      <c r="D10" s="2" t="s">
        <v>16</v>
      </c>
      <c r="E10" s="4">
        <v>2</v>
      </c>
      <c r="F10" s="4">
        <v>8</v>
      </c>
      <c r="G10" s="2"/>
      <c r="H10" s="4">
        <f t="shared" si="0"/>
        <v>6</v>
      </c>
      <c r="I10" s="2"/>
      <c r="J10" s="2"/>
      <c r="K10" s="2"/>
    </row>
    <row r="11" spans="1:11" x14ac:dyDescent="0.25">
      <c r="A11" s="4">
        <v>10</v>
      </c>
      <c r="B11" s="2" t="s">
        <v>19</v>
      </c>
      <c r="C11" s="2" t="s">
        <v>13</v>
      </c>
      <c r="D11" s="2" t="s">
        <v>10</v>
      </c>
      <c r="E11" s="4">
        <v>3</v>
      </c>
      <c r="F11" s="4">
        <v>5</v>
      </c>
      <c r="G11" s="2"/>
      <c r="H11" s="4">
        <f t="shared" si="0"/>
        <v>2</v>
      </c>
      <c r="I11" s="2"/>
      <c r="J11" s="2"/>
      <c r="K11" s="2"/>
    </row>
    <row r="12" spans="1:11" x14ac:dyDescent="0.25">
      <c r="A12" s="4">
        <v>11</v>
      </c>
      <c r="B12" s="2" t="s">
        <v>19</v>
      </c>
      <c r="C12" s="2" t="s">
        <v>15</v>
      </c>
      <c r="D12" s="2" t="s">
        <v>14</v>
      </c>
      <c r="E12" s="4">
        <v>5</v>
      </c>
      <c r="F12" s="4">
        <v>5</v>
      </c>
      <c r="G12" s="2"/>
      <c r="H12" s="4">
        <f t="shared" si="0"/>
        <v>0</v>
      </c>
      <c r="I12" s="2"/>
      <c r="J12" s="2"/>
      <c r="K12" s="2"/>
    </row>
    <row r="13" spans="1:11" x14ac:dyDescent="0.25">
      <c r="A13" s="4">
        <v>12</v>
      </c>
      <c r="B13" s="2" t="s">
        <v>19</v>
      </c>
      <c r="C13" s="2" t="s">
        <v>17</v>
      </c>
      <c r="D13" s="2" t="s">
        <v>10</v>
      </c>
      <c r="E13" s="4">
        <v>6</v>
      </c>
      <c r="F13" s="4">
        <v>15</v>
      </c>
      <c r="G13" s="2"/>
      <c r="H13" s="4">
        <f t="shared" si="0"/>
        <v>9</v>
      </c>
      <c r="I13" s="2"/>
      <c r="J13" s="2"/>
      <c r="K13" s="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 activeCell="E32" sqref="E32"/>
    </sheetView>
  </sheetViews>
  <sheetFormatPr defaultRowHeight="15" x14ac:dyDescent="0.25"/>
  <cols>
    <col min="1" max="1" width="18" customWidth="1"/>
    <col min="2" max="2" width="20" customWidth="1"/>
    <col min="4" max="8" width="18" customWidth="1"/>
  </cols>
  <sheetData>
    <row r="1" spans="1:8" ht="21" x14ac:dyDescent="0.25">
      <c r="A1" s="5" t="s">
        <v>33</v>
      </c>
      <c r="B1" s="2"/>
      <c r="C1" s="2"/>
      <c r="D1" s="6" t="s">
        <v>34</v>
      </c>
      <c r="E1" s="2"/>
      <c r="F1" s="2"/>
      <c r="G1" s="2"/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7" t="s">
        <v>35</v>
      </c>
      <c r="B3" s="7" t="s">
        <v>36</v>
      </c>
      <c r="C3" s="2"/>
      <c r="D3" s="7" t="s">
        <v>37</v>
      </c>
      <c r="E3" s="7" t="s">
        <v>8</v>
      </c>
      <c r="F3" s="7" t="s">
        <v>18</v>
      </c>
      <c r="G3" s="7" t="s">
        <v>19</v>
      </c>
      <c r="H3" s="7" t="s">
        <v>38</v>
      </c>
    </row>
    <row r="4" spans="1:8" x14ac:dyDescent="0.25">
      <c r="A4" s="2" t="s">
        <v>14</v>
      </c>
      <c r="B4" s="2">
        <f>SUMIFS(Clean!$H:$H,Clean!$D:$D,A4)</f>
        <v>5</v>
      </c>
      <c r="C4" s="2"/>
      <c r="D4" s="2" t="s">
        <v>23</v>
      </c>
      <c r="E4" s="2">
        <f>SUMIFS(Clean!$H:$H,Clean!$G:$G,$D4,Clean!$B:$B,E$3)</f>
        <v>0</v>
      </c>
      <c r="F4" s="2">
        <f>SUMIFS(Clean!$H:$H,Clean!$G:$G,$D4,Clean!$B:$B,F$3)</f>
        <v>0</v>
      </c>
      <c r="G4" s="2">
        <f>SUMIFS(Clean!$H:$H,Clean!$G:$G,$D4,Clean!$B:$B,G$3)</f>
        <v>0</v>
      </c>
      <c r="H4" s="2">
        <f>SUM(E4:G4)</f>
        <v>0</v>
      </c>
    </row>
    <row r="5" spans="1:8" x14ac:dyDescent="0.25">
      <c r="A5" s="2" t="s">
        <v>16</v>
      </c>
      <c r="B5" s="2">
        <f>SUMIFS(Clean!$H:$H,Clean!$D:$D,A5)</f>
        <v>14</v>
      </c>
      <c r="C5" s="2"/>
      <c r="D5" s="2" t="s">
        <v>26</v>
      </c>
      <c r="E5" s="2">
        <f>SUMIFS(Clean!$H:$H,Clean!$G:$G,$D5,Clean!$B:$B,E$3)</f>
        <v>0</v>
      </c>
      <c r="F5" s="2">
        <f>SUMIFS(Clean!$H:$H,Clean!$G:$G,$D5,Clean!$B:$B,F$3)</f>
        <v>0</v>
      </c>
      <c r="G5" s="2">
        <f>SUMIFS(Clean!$H:$H,Clean!$G:$G,$D5,Clean!$B:$B,G$3)</f>
        <v>0</v>
      </c>
      <c r="H5" s="2">
        <f>SUM(E5:G5)</f>
        <v>0</v>
      </c>
    </row>
    <row r="6" spans="1:8" x14ac:dyDescent="0.25">
      <c r="A6" s="2" t="s">
        <v>10</v>
      </c>
      <c r="B6" s="2">
        <f>SUMIFS(Clean!$H:$H,Clean!$D:$D,A6)</f>
        <v>15</v>
      </c>
      <c r="C6" s="2"/>
      <c r="D6" s="3" t="s">
        <v>38</v>
      </c>
      <c r="E6" s="3">
        <f>SUM(E4:E5)</f>
        <v>0</v>
      </c>
      <c r="F6" s="3">
        <f>SUM(F4:F5)</f>
        <v>0</v>
      </c>
      <c r="G6" s="3">
        <f>SUM(G4:G5)</f>
        <v>0</v>
      </c>
      <c r="H6" s="3">
        <f>SUM(H4:H5)</f>
        <v>0</v>
      </c>
    </row>
    <row r="8" spans="1:8" x14ac:dyDescent="0.25">
      <c r="A8" s="8" t="s">
        <v>39</v>
      </c>
    </row>
  </sheetData>
  <pageMargins left="0.75" right="0.75" top="1" bottom="1" header="0.5" footer="0.5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Raw</vt:lpstr>
      <vt:lpstr>Lookup</vt:lpstr>
      <vt:lpstr>Clean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Other</cp:lastModifiedBy>
  <dcterms:created xsi:type="dcterms:W3CDTF">2026-09-26T07:31:20Z</dcterms:created>
  <dcterms:modified xsi:type="dcterms:W3CDTF">2026-09-26T08:08:17Z</dcterms:modified>
</cp:coreProperties>
</file>